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os\Ingenieria\Cuatrimestre 1\Arquitectura de Software\Administrador_economico\BackEnd\ReportsExample\Gastos\"/>
    </mc:Choice>
  </mc:AlternateContent>
  <xr:revisionPtr revIDLastSave="0" documentId="13_ncr:1_{392285D3-F8F8-4DC9-BE51-BB365F17229F}" xr6:coauthVersionLast="47" xr6:coauthVersionMax="47" xr10:uidLastSave="{00000000-0000-0000-0000-000000000000}"/>
  <bookViews>
    <workbookView xWindow="-120" yWindow="-120" windowWidth="29040" windowHeight="15720" xr2:uid="{C82F2AFE-7440-4EBF-B629-A86B891F44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" l="1"/>
  <c r="H28" i="1"/>
  <c r="C19" i="1"/>
  <c r="C20" i="1"/>
  <c r="C21" i="1"/>
  <c r="C22" i="1"/>
  <c r="H29" i="1"/>
  <c r="H30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32" i="1"/>
  <c r="H33" i="1"/>
  <c r="H34" i="1"/>
  <c r="H35" i="1"/>
  <c r="H31" i="1"/>
  <c r="C23" i="1" l="1"/>
</calcChain>
</file>

<file path=xl/sharedStrings.xml><?xml version="1.0" encoding="utf-8"?>
<sst xmlns="http://schemas.openxmlformats.org/spreadsheetml/2006/main" count="21" uniqueCount="18">
  <si>
    <t>Reporte Mensual de Ingresos</t>
  </si>
  <si>
    <t xml:space="preserve">Resumen </t>
  </si>
  <si>
    <t>Concepto</t>
  </si>
  <si>
    <t>Ingreso</t>
  </si>
  <si>
    <t>Inscripciones</t>
  </si>
  <si>
    <t>Títulos</t>
  </si>
  <si>
    <t>Subvenciones</t>
  </si>
  <si>
    <t>Ingresos auxiliares</t>
  </si>
  <si>
    <t>Diario</t>
  </si>
  <si>
    <t>Fecha</t>
  </si>
  <si>
    <t>Titulos</t>
  </si>
  <si>
    <t>Total</t>
  </si>
  <si>
    <r>
      <t xml:space="preserve">Responsable de emisión: </t>
    </r>
    <r>
      <rPr>
        <b/>
        <sz val="11"/>
        <rFont val="Calibri"/>
        <family val="2"/>
        <scheme val="minor"/>
      </rPr>
      <t>José Armando</t>
    </r>
  </si>
  <si>
    <r>
      <t xml:space="preserve">Responsable de aceptacion:  </t>
    </r>
    <r>
      <rPr>
        <b/>
        <sz val="11"/>
        <rFont val="Calibri"/>
        <family val="2"/>
        <scheme val="minor"/>
      </rPr>
      <t>Javier Torrres</t>
    </r>
  </si>
  <si>
    <r>
      <t>Direccion:</t>
    </r>
    <r>
      <rPr>
        <b/>
        <sz val="11"/>
        <rFont val="Calibri"/>
        <family val="2"/>
        <scheme val="minor"/>
      </rPr>
      <t xml:space="preserve">  Educación Tecnológica 34, Fracc. Universidad</t>
    </r>
  </si>
  <si>
    <t>Ventas de productos</t>
  </si>
  <si>
    <t>Ventas de Productos</t>
  </si>
  <si>
    <r>
      <t xml:space="preserve">Fecha de emisión: </t>
    </r>
    <r>
      <rPr>
        <b/>
        <sz val="11"/>
        <color theme="1"/>
        <rFont val="Calibri"/>
        <family val="2"/>
        <scheme val="minor"/>
      </rPr>
      <t>31/01/2024 16:17:00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</si>
</sst>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[$$-80A]* #,##0.00_-;\-[$$-80A]* #,##0.00_-;_-[$$-80A]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2F5496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rgb="FF2F5496"/>
      <name val="Arial"/>
      <family val="2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8"/>
      <name val="Calibri"/>
      <family val="2"/>
      <scheme val="minor"/>
    </font>
    <font>
      <sz val="11"/>
      <color rgb="FF2F5496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0" fontId="7" fillId="0" borderId="4" xfId="0" applyFont="1" applyBorder="1" applyAlignment="1">
      <alignment vertical="center" wrapText="1"/>
    </xf>
    <xf numFmtId="0" fontId="3" fillId="0" borderId="6" xfId="0" applyFont="1" applyBorder="1"/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64" fontId="0" fillId="0" borderId="0" xfId="0" quotePrefix="1" applyNumberFormat="1" applyAlignment="1">
      <alignment horizontal="center"/>
    </xf>
    <xf numFmtId="44" fontId="7" fillId="0" borderId="5" xfId="1" applyFont="1" applyBorder="1" applyAlignment="1">
      <alignment horizontal="center" vertical="center" wrapText="1"/>
    </xf>
    <xf numFmtId="43" fontId="0" fillId="0" borderId="1" xfId="0" applyNumberFormat="1" applyBorder="1" applyAlignment="1">
      <alignment horizontal="center"/>
    </xf>
    <xf numFmtId="0" fontId="5" fillId="0" borderId="0" xfId="0" applyFont="1"/>
    <xf numFmtId="0" fontId="10" fillId="0" borderId="2" xfId="0" applyFont="1" applyBorder="1" applyAlignment="1">
      <alignment horizontal="center" vertical="center" wrapText="1"/>
    </xf>
    <xf numFmtId="43" fontId="0" fillId="0" borderId="8" xfId="0" applyNumberFormat="1" applyBorder="1" applyAlignment="1">
      <alignment horizontal="center"/>
    </xf>
    <xf numFmtId="4" fontId="0" fillId="0" borderId="9" xfId="0" applyNumberFormat="1" applyBorder="1" applyAlignment="1">
      <alignment horizontal="right"/>
    </xf>
    <xf numFmtId="4" fontId="0" fillId="0" borderId="10" xfId="0" applyNumberFormat="1" applyBorder="1" applyAlignment="1">
      <alignment horizontal="right"/>
    </xf>
    <xf numFmtId="43" fontId="0" fillId="0" borderId="11" xfId="0" applyNumberFormat="1" applyBorder="1" applyAlignment="1">
      <alignment horizontal="center"/>
    </xf>
    <xf numFmtId="0" fontId="9" fillId="0" borderId="0" xfId="0" applyFont="1"/>
    <xf numFmtId="0" fontId="10" fillId="0" borderId="12" xfId="0" applyFont="1" applyBorder="1" applyAlignment="1">
      <alignment horizontal="center" vertical="center" wrapText="1"/>
    </xf>
    <xf numFmtId="43" fontId="0" fillId="0" borderId="13" xfId="0" applyNumberFormat="1" applyBorder="1" applyAlignment="1">
      <alignment horizontal="center"/>
    </xf>
    <xf numFmtId="43" fontId="0" fillId="0" borderId="14" xfId="0" applyNumberFormat="1" applyBorder="1" applyAlignment="1">
      <alignment horizontal="center"/>
    </xf>
    <xf numFmtId="14" fontId="0" fillId="0" borderId="15" xfId="0" applyNumberFormat="1" applyBorder="1" applyAlignment="1">
      <alignment horizontal="left"/>
    </xf>
    <xf numFmtId="43" fontId="0" fillId="0" borderId="16" xfId="0" applyNumberFormat="1" applyBorder="1" applyAlignment="1">
      <alignment horizontal="center"/>
    </xf>
    <xf numFmtId="43" fontId="0" fillId="0" borderId="17" xfId="0" applyNumberFormat="1" applyBorder="1" applyAlignment="1">
      <alignment horizontal="center"/>
    </xf>
    <xf numFmtId="43" fontId="0" fillId="0" borderId="18" xfId="0" applyNumberFormat="1" applyBorder="1" applyAlignment="1">
      <alignment horizontal="center"/>
    </xf>
    <xf numFmtId="43" fontId="0" fillId="0" borderId="19" xfId="0" applyNumberFormat="1" applyBorder="1" applyAlignment="1">
      <alignment horizontal="center"/>
    </xf>
    <xf numFmtId="4" fontId="0" fillId="0" borderId="20" xfId="0" applyNumberFormat="1" applyBorder="1" applyAlignment="1">
      <alignment horizontal="right"/>
    </xf>
    <xf numFmtId="14" fontId="0" fillId="0" borderId="21" xfId="0" applyNumberFormat="1" applyBorder="1" applyAlignment="1">
      <alignment horizontal="left"/>
    </xf>
    <xf numFmtId="14" fontId="0" fillId="0" borderId="22" xfId="0" applyNumberFormat="1" applyBorder="1" applyAlignment="1">
      <alignment horizontal="left"/>
    </xf>
    <xf numFmtId="0" fontId="9" fillId="0" borderId="7" xfId="0" applyFont="1" applyBorder="1" applyAlignment="1">
      <alignment horizontal="center"/>
    </xf>
    <xf numFmtId="0" fontId="4" fillId="0" borderId="0" xfId="0" applyFont="1" applyAlignment="1">
      <alignment horizontal="left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9526</xdr:colOff>
      <xdr:row>0</xdr:row>
      <xdr:rowOff>47624</xdr:rowOff>
    </xdr:from>
    <xdr:to>
      <xdr:col>7</xdr:col>
      <xdr:colOff>971550</xdr:colOff>
      <xdr:row>7</xdr:row>
      <xdr:rowOff>180974</xdr:rowOff>
    </xdr:to>
    <xdr:pic>
      <xdr:nvPicPr>
        <xdr:cNvPr id="2" name="WordPictureWatermark14451568" descr="Cámara con relleno sólido">
          <a:extLst>
            <a:ext uri="{FF2B5EF4-FFF2-40B4-BE49-F238E27FC236}">
              <a16:creationId xmlns:a16="http://schemas.microsoft.com/office/drawing/2014/main" id="{511E18F7-FC3B-CD3D-FFF1-F2F78D2C4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 t="40124" b="40124"/>
        <a:stretch/>
      </xdr:blipFill>
      <xdr:spPr bwMode="auto">
        <a:xfrm>
          <a:off x="552451" y="47624"/>
          <a:ext cx="7667624" cy="151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171F9-A7A3-410D-B561-98B0AB6D09AD}">
  <dimension ref="B3:K58"/>
  <sheetViews>
    <sheetView tabSelected="1" workbookViewId="0">
      <selection activeCell="J15" sqref="J15"/>
    </sheetView>
  </sheetViews>
  <sheetFormatPr baseColWidth="10" defaultRowHeight="15" x14ac:dyDescent="0.25"/>
  <cols>
    <col min="1" max="1" width="8.140625" customWidth="1"/>
    <col min="2" max="2" width="21" customWidth="1"/>
    <col min="3" max="6" width="15.7109375" customWidth="1"/>
    <col min="7" max="7" width="16.7109375" customWidth="1"/>
    <col min="8" max="8" width="14.7109375" customWidth="1"/>
    <col min="9" max="9" width="17.7109375" customWidth="1"/>
    <col min="10" max="10" width="12" bestFit="1" customWidth="1"/>
  </cols>
  <sheetData>
    <row r="3" spans="2:11" ht="18.75" x14ac:dyDescent="0.3">
      <c r="C3" s="1"/>
      <c r="D3" s="1"/>
      <c r="E3" s="1"/>
      <c r="F3" s="1"/>
      <c r="G3" s="1"/>
    </row>
    <row r="9" spans="2:11" ht="23.25" x14ac:dyDescent="0.35">
      <c r="B9" s="10" t="s">
        <v>0</v>
      </c>
      <c r="C9" s="10"/>
      <c r="D9" s="10"/>
      <c r="E9" s="10"/>
    </row>
    <row r="10" spans="2:11" ht="15" customHeight="1" x14ac:dyDescent="0.35">
      <c r="C10" s="10"/>
      <c r="D10" s="10"/>
      <c r="E10" s="2"/>
      <c r="F10" s="2"/>
      <c r="G10" s="2"/>
    </row>
    <row r="11" spans="2:11" x14ac:dyDescent="0.25">
      <c r="B11" s="2" t="s">
        <v>17</v>
      </c>
      <c r="C11" s="2"/>
      <c r="D11" s="2"/>
      <c r="E11" s="2" t="s">
        <v>14</v>
      </c>
      <c r="F11" s="2"/>
      <c r="G11" s="2"/>
      <c r="I11" s="2"/>
      <c r="J11" s="2"/>
      <c r="K11" s="2"/>
    </row>
    <row r="12" spans="2:11" x14ac:dyDescent="0.25">
      <c r="B12" s="2" t="s">
        <v>12</v>
      </c>
      <c r="C12" s="2"/>
      <c r="D12" s="2"/>
      <c r="E12" s="29" t="s">
        <v>13</v>
      </c>
      <c r="F12" s="29"/>
      <c r="G12" s="29"/>
      <c r="H12" s="29"/>
      <c r="I12" s="2"/>
    </row>
    <row r="15" spans="2:11" ht="23.25" x14ac:dyDescent="0.35">
      <c r="B15" s="16" t="s">
        <v>1</v>
      </c>
      <c r="C15" s="16"/>
      <c r="D15" s="16"/>
      <c r="E15" s="16"/>
      <c r="F15" s="16"/>
      <c r="G15" s="16"/>
      <c r="H15" s="16"/>
    </row>
    <row r="16" spans="2:11" ht="15" customHeight="1" thickBot="1" x14ac:dyDescent="0.35">
      <c r="B16" s="4"/>
      <c r="C16" s="4"/>
    </row>
    <row r="17" spans="2:9" ht="20.25" customHeight="1" thickBot="1" x14ac:dyDescent="0.3">
      <c r="B17" s="5" t="s">
        <v>2</v>
      </c>
      <c r="C17" s="6" t="s">
        <v>3</v>
      </c>
    </row>
    <row r="18" spans="2:9" ht="15.75" customHeight="1" thickBot="1" x14ac:dyDescent="0.3">
      <c r="B18" s="3" t="s">
        <v>4</v>
      </c>
      <c r="C18" s="8">
        <f>SUM(C28:C58)</f>
        <v>3820</v>
      </c>
    </row>
    <row r="19" spans="2:9" ht="15" customHeight="1" thickBot="1" x14ac:dyDescent="0.3">
      <c r="B19" s="3" t="s">
        <v>5</v>
      </c>
      <c r="C19" s="8">
        <f>SUM(D28:D58)</f>
        <v>3120</v>
      </c>
    </row>
    <row r="20" spans="2:9" ht="15" customHeight="1" thickBot="1" x14ac:dyDescent="0.3">
      <c r="B20" s="3" t="s">
        <v>6</v>
      </c>
      <c r="C20" s="8">
        <f>SUM(E28:E58)</f>
        <v>4400</v>
      </c>
    </row>
    <row r="21" spans="2:9" ht="15" customHeight="1" thickBot="1" x14ac:dyDescent="0.3">
      <c r="B21" s="3" t="s">
        <v>15</v>
      </c>
      <c r="C21" s="8">
        <f>SUM(F28:F58)</f>
        <v>6500</v>
      </c>
    </row>
    <row r="22" spans="2:9" ht="15" customHeight="1" thickBot="1" x14ac:dyDescent="0.3">
      <c r="B22" s="3" t="s">
        <v>7</v>
      </c>
      <c r="C22" s="8">
        <f>SUM(G28:G58)</f>
        <v>6860</v>
      </c>
    </row>
    <row r="23" spans="2:9" x14ac:dyDescent="0.25">
      <c r="C23" s="7">
        <f>SUM(C18:C22)</f>
        <v>24700</v>
      </c>
    </row>
    <row r="26" spans="2:9" ht="24" thickBot="1" x14ac:dyDescent="0.4">
      <c r="B26" s="28" t="s">
        <v>8</v>
      </c>
      <c r="C26" s="28"/>
      <c r="D26" s="28"/>
      <c r="E26" s="28"/>
      <c r="F26" s="28"/>
      <c r="G26" s="28"/>
      <c r="H26" s="28"/>
      <c r="I26" s="1"/>
    </row>
    <row r="27" spans="2:9" ht="29.25" thickBot="1" x14ac:dyDescent="0.3">
      <c r="B27" s="17" t="s">
        <v>9</v>
      </c>
      <c r="C27" s="11" t="s">
        <v>4</v>
      </c>
      <c r="D27" s="11" t="s">
        <v>10</v>
      </c>
      <c r="E27" s="11" t="s">
        <v>6</v>
      </c>
      <c r="F27" s="11" t="s">
        <v>16</v>
      </c>
      <c r="G27" s="11" t="s">
        <v>7</v>
      </c>
      <c r="H27" s="11" t="s">
        <v>11</v>
      </c>
    </row>
    <row r="28" spans="2:9" x14ac:dyDescent="0.25">
      <c r="B28" s="20">
        <v>45292</v>
      </c>
      <c r="C28" s="18">
        <v>1500</v>
      </c>
      <c r="D28" s="12"/>
      <c r="E28" s="12"/>
      <c r="F28" s="12"/>
      <c r="G28" s="12"/>
      <c r="H28" s="13">
        <f t="shared" ref="H28:H58" si="0">SUM(C28,D28,E28,F28,G28)</f>
        <v>1500</v>
      </c>
    </row>
    <row r="29" spans="2:9" x14ac:dyDescent="0.25">
      <c r="B29" s="26">
        <v>45293</v>
      </c>
      <c r="C29" s="19"/>
      <c r="D29" s="9">
        <v>100</v>
      </c>
      <c r="E29" s="9"/>
      <c r="F29" s="9"/>
      <c r="G29" s="9"/>
      <c r="H29" s="14">
        <f t="shared" si="0"/>
        <v>100</v>
      </c>
    </row>
    <row r="30" spans="2:9" x14ac:dyDescent="0.25">
      <c r="B30" s="26">
        <v>45294</v>
      </c>
      <c r="C30" s="19"/>
      <c r="D30" s="9"/>
      <c r="E30" s="9"/>
      <c r="F30" s="9">
        <v>2000</v>
      </c>
      <c r="G30" s="9"/>
      <c r="H30" s="14">
        <f t="shared" si="0"/>
        <v>2000</v>
      </c>
    </row>
    <row r="31" spans="2:9" x14ac:dyDescent="0.25">
      <c r="B31" s="26">
        <v>45295</v>
      </c>
      <c r="C31" s="19"/>
      <c r="D31" s="9"/>
      <c r="E31" s="9"/>
      <c r="F31" s="9"/>
      <c r="G31" s="9"/>
      <c r="H31" s="14">
        <f t="shared" si="0"/>
        <v>0</v>
      </c>
    </row>
    <row r="32" spans="2:9" x14ac:dyDescent="0.25">
      <c r="B32" s="26">
        <v>45296</v>
      </c>
      <c r="C32" s="19"/>
      <c r="D32" s="9"/>
      <c r="E32" s="9">
        <v>100</v>
      </c>
      <c r="F32" s="9"/>
      <c r="G32" s="9">
        <v>10</v>
      </c>
      <c r="H32" s="14">
        <f t="shared" si="0"/>
        <v>110</v>
      </c>
    </row>
    <row r="33" spans="2:8" x14ac:dyDescent="0.25">
      <c r="B33" s="26">
        <v>45297</v>
      </c>
      <c r="C33" s="9">
        <v>100</v>
      </c>
      <c r="D33" s="9"/>
      <c r="E33" s="9"/>
      <c r="F33" s="9"/>
      <c r="G33" s="9"/>
      <c r="H33" s="14">
        <f t="shared" si="0"/>
        <v>100</v>
      </c>
    </row>
    <row r="34" spans="2:8" x14ac:dyDescent="0.25">
      <c r="B34" s="26">
        <v>45298</v>
      </c>
      <c r="C34" s="19"/>
      <c r="D34" s="9"/>
      <c r="E34" s="9"/>
      <c r="F34" s="9"/>
      <c r="G34" s="9"/>
      <c r="H34" s="14">
        <f t="shared" si="0"/>
        <v>0</v>
      </c>
    </row>
    <row r="35" spans="2:8" x14ac:dyDescent="0.25">
      <c r="B35" s="26">
        <v>45299</v>
      </c>
      <c r="C35" s="19"/>
      <c r="D35" s="9">
        <v>500</v>
      </c>
      <c r="E35" s="9"/>
      <c r="F35" s="9">
        <v>100</v>
      </c>
      <c r="G35" s="9"/>
      <c r="H35" s="14">
        <f t="shared" si="0"/>
        <v>600</v>
      </c>
    </row>
    <row r="36" spans="2:8" x14ac:dyDescent="0.25">
      <c r="B36" s="26">
        <v>45300</v>
      </c>
      <c r="C36" s="19"/>
      <c r="D36" s="9"/>
      <c r="E36" s="9"/>
      <c r="F36" s="9"/>
      <c r="G36" s="9">
        <v>1200</v>
      </c>
      <c r="H36" s="14">
        <f t="shared" si="0"/>
        <v>1200</v>
      </c>
    </row>
    <row r="37" spans="2:8" x14ac:dyDescent="0.25">
      <c r="B37" s="26">
        <v>45301</v>
      </c>
      <c r="C37" s="19"/>
      <c r="D37" s="9"/>
      <c r="E37" s="9"/>
      <c r="F37" s="9"/>
      <c r="G37" s="9"/>
      <c r="H37" s="14">
        <f t="shared" si="0"/>
        <v>0</v>
      </c>
    </row>
    <row r="38" spans="2:8" x14ac:dyDescent="0.25">
      <c r="B38" s="26">
        <v>45302</v>
      </c>
      <c r="C38" s="19"/>
      <c r="D38" s="9"/>
      <c r="E38" s="9">
        <v>500</v>
      </c>
      <c r="F38" s="9"/>
      <c r="G38" s="9"/>
      <c r="H38" s="14">
        <f t="shared" si="0"/>
        <v>500</v>
      </c>
    </row>
    <row r="39" spans="2:8" x14ac:dyDescent="0.25">
      <c r="B39" s="26">
        <v>45303</v>
      </c>
      <c r="C39" s="19"/>
      <c r="D39" s="9"/>
      <c r="E39" s="9">
        <v>100</v>
      </c>
      <c r="F39" s="9"/>
      <c r="G39" s="9">
        <v>10</v>
      </c>
      <c r="H39" s="14">
        <f t="shared" si="0"/>
        <v>110</v>
      </c>
    </row>
    <row r="40" spans="2:8" x14ac:dyDescent="0.25">
      <c r="B40" s="26">
        <v>45304</v>
      </c>
      <c r="C40" s="19"/>
      <c r="D40" s="9"/>
      <c r="E40" s="9"/>
      <c r="F40" s="9"/>
      <c r="G40" s="9"/>
      <c r="H40" s="14">
        <f t="shared" si="0"/>
        <v>0</v>
      </c>
    </row>
    <row r="41" spans="2:8" x14ac:dyDescent="0.25">
      <c r="B41" s="26">
        <v>45305</v>
      </c>
      <c r="C41" s="19">
        <v>900</v>
      </c>
      <c r="D41" s="9"/>
      <c r="E41" s="9"/>
      <c r="F41" s="9">
        <v>1200</v>
      </c>
      <c r="G41" s="9"/>
      <c r="H41" s="14">
        <f t="shared" si="0"/>
        <v>2100</v>
      </c>
    </row>
    <row r="42" spans="2:8" x14ac:dyDescent="0.25">
      <c r="B42" s="26">
        <v>45306</v>
      </c>
      <c r="C42" s="19"/>
      <c r="D42" s="9"/>
      <c r="E42" s="9"/>
      <c r="F42" s="9"/>
      <c r="G42" s="9"/>
      <c r="H42" s="14">
        <f t="shared" si="0"/>
        <v>0</v>
      </c>
    </row>
    <row r="43" spans="2:8" x14ac:dyDescent="0.25">
      <c r="B43" s="26">
        <v>45307</v>
      </c>
      <c r="C43" s="19"/>
      <c r="D43" s="9"/>
      <c r="E43" s="9">
        <v>500</v>
      </c>
      <c r="F43" s="9"/>
      <c r="G43" s="9"/>
      <c r="H43" s="14">
        <f t="shared" si="0"/>
        <v>500</v>
      </c>
    </row>
    <row r="44" spans="2:8" x14ac:dyDescent="0.25">
      <c r="B44" s="26">
        <v>45308</v>
      </c>
      <c r="C44" s="19"/>
      <c r="D44" s="9"/>
      <c r="E44" s="9"/>
      <c r="F44" s="9"/>
      <c r="G44" s="9"/>
      <c r="H44" s="14">
        <f t="shared" si="0"/>
        <v>0</v>
      </c>
    </row>
    <row r="45" spans="2:8" x14ac:dyDescent="0.25">
      <c r="B45" s="26">
        <v>45309</v>
      </c>
      <c r="C45" s="19"/>
      <c r="D45" s="9"/>
      <c r="E45" s="9"/>
      <c r="F45" s="9"/>
      <c r="G45" s="9">
        <v>20</v>
      </c>
      <c r="H45" s="14">
        <f t="shared" si="0"/>
        <v>20</v>
      </c>
    </row>
    <row r="46" spans="2:8" x14ac:dyDescent="0.25">
      <c r="B46" s="26">
        <v>45310</v>
      </c>
      <c r="C46" s="19">
        <v>1200</v>
      </c>
      <c r="D46" s="9"/>
      <c r="E46" s="9"/>
      <c r="F46" s="9">
        <v>2500</v>
      </c>
      <c r="G46" s="9"/>
      <c r="H46" s="14">
        <f t="shared" si="0"/>
        <v>3700</v>
      </c>
    </row>
    <row r="47" spans="2:8" x14ac:dyDescent="0.25">
      <c r="B47" s="26">
        <v>45311</v>
      </c>
      <c r="C47" s="19"/>
      <c r="D47" s="9"/>
      <c r="E47" s="9"/>
      <c r="F47" s="9"/>
      <c r="G47" s="9"/>
      <c r="H47" s="14">
        <f t="shared" si="0"/>
        <v>0</v>
      </c>
    </row>
    <row r="48" spans="2:8" x14ac:dyDescent="0.25">
      <c r="B48" s="26">
        <v>45312</v>
      </c>
      <c r="C48" s="19"/>
      <c r="D48" s="9"/>
      <c r="E48" s="9"/>
      <c r="F48" s="9">
        <v>300</v>
      </c>
      <c r="G48" s="9">
        <v>50</v>
      </c>
      <c r="H48" s="14">
        <f t="shared" si="0"/>
        <v>350</v>
      </c>
    </row>
    <row r="49" spans="2:8" x14ac:dyDescent="0.25">
      <c r="B49" s="26">
        <v>45313</v>
      </c>
      <c r="C49" s="19"/>
      <c r="D49" s="9"/>
      <c r="E49" s="9">
        <v>100</v>
      </c>
      <c r="F49" s="9"/>
      <c r="G49" s="9"/>
      <c r="H49" s="14">
        <f t="shared" si="0"/>
        <v>100</v>
      </c>
    </row>
    <row r="50" spans="2:8" x14ac:dyDescent="0.25">
      <c r="B50" s="26">
        <v>45314</v>
      </c>
      <c r="C50" s="9">
        <v>50</v>
      </c>
      <c r="D50" s="9"/>
      <c r="E50" s="9"/>
      <c r="F50" s="9"/>
      <c r="G50" s="9"/>
      <c r="H50" s="14">
        <f t="shared" si="0"/>
        <v>50</v>
      </c>
    </row>
    <row r="51" spans="2:8" x14ac:dyDescent="0.25">
      <c r="B51" s="26">
        <v>45315</v>
      </c>
      <c r="C51" s="19"/>
      <c r="D51" s="9">
        <v>2500</v>
      </c>
      <c r="E51" s="9"/>
      <c r="F51" s="9"/>
      <c r="G51" s="9"/>
      <c r="H51" s="14">
        <f t="shared" si="0"/>
        <v>2500</v>
      </c>
    </row>
    <row r="52" spans="2:8" x14ac:dyDescent="0.25">
      <c r="B52" s="26">
        <v>45316</v>
      </c>
      <c r="C52" s="19"/>
      <c r="D52" s="9"/>
      <c r="E52" s="9"/>
      <c r="F52" s="9"/>
      <c r="G52" s="9">
        <v>50</v>
      </c>
      <c r="H52" s="14">
        <f t="shared" si="0"/>
        <v>50</v>
      </c>
    </row>
    <row r="53" spans="2:8" x14ac:dyDescent="0.25">
      <c r="B53" s="26">
        <v>45317</v>
      </c>
      <c r="C53" s="9">
        <v>50</v>
      </c>
      <c r="D53" s="9"/>
      <c r="E53" s="9">
        <v>100</v>
      </c>
      <c r="F53" s="9"/>
      <c r="G53" s="9"/>
      <c r="H53" s="14">
        <f t="shared" si="0"/>
        <v>150</v>
      </c>
    </row>
    <row r="54" spans="2:8" x14ac:dyDescent="0.25">
      <c r="B54" s="26">
        <v>45318</v>
      </c>
      <c r="C54" s="19"/>
      <c r="D54" s="9"/>
      <c r="E54" s="9"/>
      <c r="F54" s="9"/>
      <c r="G54" s="9"/>
      <c r="H54" s="14">
        <f t="shared" si="0"/>
        <v>0</v>
      </c>
    </row>
    <row r="55" spans="2:8" x14ac:dyDescent="0.25">
      <c r="B55" s="26">
        <v>45319</v>
      </c>
      <c r="C55" s="19"/>
      <c r="D55" s="9"/>
      <c r="E55" s="9"/>
      <c r="F55" s="9">
        <v>400</v>
      </c>
      <c r="G55" s="9">
        <v>2500</v>
      </c>
      <c r="H55" s="14">
        <f t="shared" si="0"/>
        <v>2900</v>
      </c>
    </row>
    <row r="56" spans="2:8" x14ac:dyDescent="0.25">
      <c r="B56" s="26">
        <v>45320</v>
      </c>
      <c r="C56" s="19"/>
      <c r="D56" s="9"/>
      <c r="E56" s="9"/>
      <c r="F56" s="9"/>
      <c r="G56" s="9"/>
      <c r="H56" s="14">
        <f t="shared" si="0"/>
        <v>0</v>
      </c>
    </row>
    <row r="57" spans="2:8" x14ac:dyDescent="0.25">
      <c r="B57" s="26">
        <v>45321</v>
      </c>
      <c r="C57" s="22"/>
      <c r="D57" s="23"/>
      <c r="E57" s="9">
        <v>3000</v>
      </c>
      <c r="F57" s="9"/>
      <c r="G57" s="23">
        <v>20</v>
      </c>
      <c r="H57" s="14">
        <f t="shared" si="0"/>
        <v>3020</v>
      </c>
    </row>
    <row r="58" spans="2:8" ht="15.75" thickBot="1" x14ac:dyDescent="0.3">
      <c r="B58" s="27">
        <v>45322</v>
      </c>
      <c r="C58" s="21">
        <v>20</v>
      </c>
      <c r="D58" s="15">
        <v>20</v>
      </c>
      <c r="E58" s="21"/>
      <c r="F58" s="24"/>
      <c r="G58" s="15">
        <v>3000</v>
      </c>
      <c r="H58" s="25">
        <f t="shared" si="0"/>
        <v>3040</v>
      </c>
    </row>
  </sheetData>
  <mergeCells count="2">
    <mergeCell ref="B26:H26"/>
    <mergeCell ref="E12:H1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Gutierrez</dc:creator>
  <cp:lastModifiedBy>Armando Gutierrez</cp:lastModifiedBy>
  <cp:lastPrinted>2023-10-11T01:24:38Z</cp:lastPrinted>
  <dcterms:created xsi:type="dcterms:W3CDTF">2023-10-11T01:06:38Z</dcterms:created>
  <dcterms:modified xsi:type="dcterms:W3CDTF">2025-01-12T16:09:25Z</dcterms:modified>
</cp:coreProperties>
</file>